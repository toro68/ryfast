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rde.sharepoint.com/sites/Ferde/Kommunikasjon/Statistikk/Ryfast/"/>
    </mc:Choice>
  </mc:AlternateContent>
  <xr:revisionPtr revIDLastSave="120" documentId="8_{C9143D45-D20B-4111-8849-5F1EA2D0E62F}" xr6:coauthVersionLast="47" xr6:coauthVersionMax="47" xr10:uidLastSave="{E18DF36C-E815-4F0F-9746-709691536CC6}"/>
  <bookViews>
    <workbookView xWindow="28680" yWindow="-120" windowWidth="29040" windowHeight="175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6" i="1"/>
  <c r="O7" i="1"/>
  <c r="O8" i="1"/>
  <c r="O9" i="1"/>
  <c r="O10" i="1"/>
  <c r="O11" i="1"/>
  <c r="O17" i="1"/>
  <c r="O13" i="1"/>
  <c r="O14" i="1"/>
  <c r="O15" i="1"/>
  <c r="O16" i="1"/>
  <c r="J15" i="1"/>
  <c r="I16" i="1"/>
  <c r="I15" i="1"/>
  <c r="K15" i="1" s="1"/>
  <c r="J16" i="1"/>
  <c r="J11" i="1"/>
  <c r="J10" i="1"/>
  <c r="I11" i="1"/>
  <c r="K11" i="1" s="1"/>
  <c r="I10" i="1"/>
  <c r="K10" i="1" s="1"/>
  <c r="L10" i="1" s="1"/>
  <c r="P11" i="1" l="1"/>
  <c r="K16" i="1"/>
  <c r="L11" i="1" s="1"/>
  <c r="P13" i="1"/>
  <c r="E33" i="1" l="1"/>
  <c r="D33" i="1"/>
  <c r="I17" i="1" s="1"/>
  <c r="K17" i="1" s="1"/>
  <c r="C33" i="1"/>
  <c r="E18" i="1"/>
  <c r="D18" i="1"/>
  <c r="I12" i="1" s="1"/>
  <c r="K12" i="1" s="1"/>
  <c r="L12" i="1" s="1"/>
  <c r="C18" i="1"/>
</calcChain>
</file>

<file path=xl/sharedStrings.xml><?xml version="1.0" encoding="utf-8"?>
<sst xmlns="http://schemas.openxmlformats.org/spreadsheetml/2006/main" count="55" uniqueCount="28">
  <si>
    <t>Måned</t>
  </si>
  <si>
    <t>Passeringer</t>
  </si>
  <si>
    <t>Fritakspasseringer</t>
  </si>
  <si>
    <t>jan.</t>
  </si>
  <si>
    <t>feb.</t>
  </si>
  <si>
    <t>mar.</t>
  </si>
  <si>
    <t>apr.</t>
  </si>
  <si>
    <t>mai</t>
  </si>
  <si>
    <t>jun.</t>
  </si>
  <si>
    <t>jul.</t>
  </si>
  <si>
    <t>aug.</t>
  </si>
  <si>
    <t>sep.</t>
  </si>
  <si>
    <t>okt.</t>
  </si>
  <si>
    <t>nov.</t>
  </si>
  <si>
    <t>des.</t>
  </si>
  <si>
    <t>Totalt</t>
  </si>
  <si>
    <t>Beregnede passeringsinntekter</t>
  </si>
  <si>
    <t>Ryfast</t>
  </si>
  <si>
    <t>33% reduksjon av takster (2.7.25)</t>
  </si>
  <si>
    <t>ÅDT</t>
  </si>
  <si>
    <t>Trafikk</t>
  </si>
  <si>
    <t>Dager</t>
  </si>
  <si>
    <t>1. halvår 25</t>
  </si>
  <si>
    <t>2. halvår 25</t>
  </si>
  <si>
    <t>1. halvår 24</t>
  </si>
  <si>
    <t>2. halvår 24</t>
  </si>
  <si>
    <t>Vekst</t>
  </si>
  <si>
    <t>Trafikk/passeringer, vekst i 2025 sammenlignet med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</si>
</sst>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2" borderId="2" xfId="0" applyFont="1" applyFill="1" applyBorder="1"/>
    <xf numFmtId="3" fontId="1" fillId="0" borderId="1" xfId="0" applyNumberFormat="1" applyFont="1" applyBorder="1" applyAlignment="1">
      <alignment wrapText="1"/>
    </xf>
    <xf numFmtId="10" fontId="0" fillId="0" borderId="0" xfId="2" applyNumberFormat="1" applyFont="1"/>
    <xf numFmtId="3" fontId="0" fillId="0" borderId="0" xfId="0" applyNumberFormat="1" applyBorder="1"/>
    <xf numFmtId="0" fontId="0" fillId="0" borderId="0" xfId="0" applyNumberFormat="1" applyBorder="1" applyAlignment="1">
      <alignment horizontal="left"/>
    </xf>
    <xf numFmtId="166" fontId="0" fillId="0" borderId="0" xfId="1" applyNumberFormat="1" applyFont="1"/>
    <xf numFmtId="0" fontId="0" fillId="0" borderId="0" xfId="0" applyAlignment="1">
      <alignment horizontal="left"/>
    </xf>
    <xf numFmtId="0" fontId="0" fillId="0" borderId="3" xfId="0" applyBorder="1"/>
    <xf numFmtId="0" fontId="4" fillId="0" borderId="0" xfId="0" applyFont="1"/>
    <xf numFmtId="0" fontId="5" fillId="0" borderId="0" xfId="0" applyFont="1"/>
    <xf numFmtId="10" fontId="0" fillId="3" borderId="0" xfId="0" applyNumberFormat="1" applyFill="1"/>
    <xf numFmtId="10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0" applyNumberFormat="1" applyAlignment="1"/>
    <xf numFmtId="0" fontId="5" fillId="0" borderId="0" xfId="0" applyFont="1" applyBorder="1"/>
    <xf numFmtId="3" fontId="5" fillId="0" borderId="0" xfId="0" applyNumberFormat="1" applyFont="1" applyBorder="1"/>
    <xf numFmtId="10" fontId="5" fillId="0" borderId="0" xfId="2" applyNumberFormat="1" applyFont="1" applyBorder="1"/>
    <xf numFmtId="0" fontId="0" fillId="0" borderId="0" xfId="0" applyBorder="1"/>
    <xf numFmtId="0" fontId="1" fillId="0" borderId="0" xfId="0" applyFont="1" applyBorder="1"/>
    <xf numFmtId="10" fontId="0" fillId="0" borderId="0" xfId="2" applyNumberFormat="1" applyFont="1" applyBorder="1"/>
  </cellXfs>
  <cellStyles count="3">
    <cellStyle name="Komma" xfId="1" builtinId="3"/>
    <cellStyle name="Normal" xfId="0" builtinId="0"/>
    <cellStyle name="Pros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"/>
  <sheetViews>
    <sheetView tabSelected="1" topLeftCell="A3" workbookViewId="0">
      <selection activeCell="G27" sqref="G27"/>
    </sheetView>
  </sheetViews>
  <sheetFormatPr baseColWidth="10" defaultColWidth="8.88671875" defaultRowHeight="14.4" x14ac:dyDescent="0.3"/>
  <cols>
    <col min="2" max="2" width="15.6640625" customWidth="1"/>
    <col min="3" max="3" width="18.33203125" style="1" customWidth="1"/>
    <col min="4" max="5" width="15.6640625" style="1" customWidth="1"/>
    <col min="6" max="6" width="15.6640625" customWidth="1"/>
    <col min="7" max="7" width="26" bestFit="1" customWidth="1"/>
    <col min="8" max="12" width="15.6640625" customWidth="1"/>
  </cols>
  <sheetData>
    <row r="3" spans="1:16" ht="15.6" x14ac:dyDescent="0.3">
      <c r="B3" s="3" t="s">
        <v>17</v>
      </c>
    </row>
    <row r="5" spans="1:16" ht="28.8" x14ac:dyDescent="0.3">
      <c r="B5" s="8" t="s">
        <v>0</v>
      </c>
      <c r="C5" s="9" t="s">
        <v>16</v>
      </c>
      <c r="D5" s="7" t="s">
        <v>1</v>
      </c>
      <c r="E5" s="7" t="s">
        <v>2</v>
      </c>
      <c r="N5" t="s">
        <v>27</v>
      </c>
    </row>
    <row r="6" spans="1:16" x14ac:dyDescent="0.3">
      <c r="A6" s="2">
        <v>2025</v>
      </c>
      <c r="B6" s="4" t="s">
        <v>3</v>
      </c>
      <c r="C6" s="5">
        <v>24603757</v>
      </c>
      <c r="D6" s="5">
        <v>534667</v>
      </c>
      <c r="E6" s="5">
        <v>139483</v>
      </c>
      <c r="N6" s="4" t="s">
        <v>3</v>
      </c>
      <c r="O6" s="18">
        <f>D6/D21-1</f>
        <v>3.4606401526366071E-2</v>
      </c>
    </row>
    <row r="7" spans="1:16" x14ac:dyDescent="0.3">
      <c r="B7" s="4" t="s">
        <v>4</v>
      </c>
      <c r="C7" s="5">
        <v>23736030</v>
      </c>
      <c r="D7" s="5">
        <v>507096</v>
      </c>
      <c r="E7" s="5">
        <v>131949</v>
      </c>
      <c r="N7" s="4" t="s">
        <v>4</v>
      </c>
      <c r="O7" s="18">
        <f>D7/D22-1</f>
        <v>2.7585470465749662E-3</v>
      </c>
      <c r="P7" s="21"/>
    </row>
    <row r="8" spans="1:16" x14ac:dyDescent="0.3">
      <c r="B8" s="4" t="s">
        <v>5</v>
      </c>
      <c r="C8" s="5">
        <v>28252987</v>
      </c>
      <c r="D8" s="5">
        <v>590480</v>
      </c>
      <c r="E8" s="5">
        <v>155131</v>
      </c>
      <c r="N8" s="4" t="s">
        <v>5</v>
      </c>
      <c r="O8" s="18">
        <f>D8/D23-1</f>
        <v>9.5868038543197809E-2</v>
      </c>
      <c r="P8" s="21"/>
    </row>
    <row r="9" spans="1:16" x14ac:dyDescent="0.3">
      <c r="B9" s="4" t="s">
        <v>6</v>
      </c>
      <c r="C9" s="5">
        <v>29986655</v>
      </c>
      <c r="D9" s="5">
        <v>585018</v>
      </c>
      <c r="E9" s="5">
        <v>146517</v>
      </c>
      <c r="H9" s="15"/>
      <c r="I9" s="15" t="s">
        <v>20</v>
      </c>
      <c r="J9" s="15" t="s">
        <v>21</v>
      </c>
      <c r="K9" s="15" t="s">
        <v>19</v>
      </c>
      <c r="L9" s="15" t="s">
        <v>26</v>
      </c>
      <c r="N9" s="4" t="s">
        <v>6</v>
      </c>
      <c r="O9" s="18">
        <f>D9/D24-1</f>
        <v>1.0826744443215741E-2</v>
      </c>
      <c r="P9" s="21"/>
    </row>
    <row r="10" spans="1:16" x14ac:dyDescent="0.3">
      <c r="B10" s="4" t="s">
        <v>7</v>
      </c>
      <c r="C10" s="5">
        <v>31737684</v>
      </c>
      <c r="D10" s="5">
        <v>623305</v>
      </c>
      <c r="E10" s="5">
        <v>160221</v>
      </c>
      <c r="H10" t="s">
        <v>22</v>
      </c>
      <c r="I10" s="1">
        <f>SUM(D6:D11)</f>
        <v>3473069</v>
      </c>
      <c r="J10" s="1">
        <f>31+28+31+30+31+30</f>
        <v>181</v>
      </c>
      <c r="K10" s="13">
        <f>I10/J10</f>
        <v>19188.226519337015</v>
      </c>
      <c r="L10" s="10">
        <f>K10/K15-1</f>
        <v>2.8292214445951647E-2</v>
      </c>
      <c r="N10" s="4" t="s">
        <v>7</v>
      </c>
      <c r="O10" s="18">
        <f>D10/D25-1</f>
        <v>-3.0900282612833507E-3</v>
      </c>
      <c r="P10" s="21"/>
    </row>
    <row r="11" spans="1:16" x14ac:dyDescent="0.3">
      <c r="B11" s="4" t="s">
        <v>8</v>
      </c>
      <c r="C11" s="5">
        <v>34283334</v>
      </c>
      <c r="D11" s="5">
        <v>632503</v>
      </c>
      <c r="E11" s="5">
        <v>158624</v>
      </c>
      <c r="H11" t="s">
        <v>23</v>
      </c>
      <c r="I11" s="1">
        <f>SUM(D12:D17)</f>
        <v>3724351</v>
      </c>
      <c r="J11" s="1">
        <f>31+31+30+31+30+31</f>
        <v>184</v>
      </c>
      <c r="K11" s="13">
        <f>I11/J11</f>
        <v>20241.03804347826</v>
      </c>
      <c r="L11" s="10">
        <f>K11/K16-1</f>
        <v>5.0676542020138493E-2</v>
      </c>
      <c r="N11" s="4" t="s">
        <v>8</v>
      </c>
      <c r="O11" s="18">
        <f>D11/D26-1</f>
        <v>2.5805428967704547E-3</v>
      </c>
      <c r="P11" s="21">
        <f>AVERAGE(O6:O11)</f>
        <v>2.3925041032473615E-2</v>
      </c>
    </row>
    <row r="12" spans="1:16" x14ac:dyDescent="0.3">
      <c r="B12" s="4" t="s">
        <v>9</v>
      </c>
      <c r="C12" s="5">
        <v>24573030</v>
      </c>
      <c r="D12" s="5">
        <v>607789</v>
      </c>
      <c r="E12" s="5">
        <v>144999</v>
      </c>
      <c r="F12" t="s">
        <v>18</v>
      </c>
      <c r="H12" s="12">
        <v>2025</v>
      </c>
      <c r="I12" s="1">
        <f>D18</f>
        <v>7197420</v>
      </c>
      <c r="J12">
        <v>365</v>
      </c>
      <c r="K12" s="13">
        <f>I12/J12</f>
        <v>19718.95890410959</v>
      </c>
      <c r="L12" s="10">
        <f>K12/K17-1</f>
        <v>3.9800371235458432E-2</v>
      </c>
      <c r="N12" s="4" t="s">
        <v>9</v>
      </c>
      <c r="O12" s="18">
        <f>D12/D27-1</f>
        <v>3.3616089193941656E-2</v>
      </c>
      <c r="P12" s="21"/>
    </row>
    <row r="13" spans="1:16" x14ac:dyDescent="0.3">
      <c r="B13" s="4" t="s">
        <v>10</v>
      </c>
      <c r="C13" s="5">
        <v>25505900</v>
      </c>
      <c r="D13" s="5">
        <v>676896</v>
      </c>
      <c r="E13" s="5">
        <v>162730</v>
      </c>
      <c r="H13" s="1"/>
      <c r="I13" s="1"/>
      <c r="N13" s="4" t="s">
        <v>10</v>
      </c>
      <c r="O13" s="19">
        <f>D13/D28-1</f>
        <v>3.1312848140609084E-2</v>
      </c>
      <c r="P13" s="20">
        <f>AVERAGE(O13:O17)</f>
        <v>5.5229246032930224E-2</v>
      </c>
    </row>
    <row r="14" spans="1:16" x14ac:dyDescent="0.3">
      <c r="B14" s="4" t="s">
        <v>11</v>
      </c>
      <c r="C14" s="5">
        <v>22180987</v>
      </c>
      <c r="D14" s="5">
        <v>635977</v>
      </c>
      <c r="E14" s="5">
        <v>160140</v>
      </c>
      <c r="H14" s="15"/>
      <c r="I14" s="15" t="s">
        <v>20</v>
      </c>
      <c r="J14" s="15" t="s">
        <v>21</v>
      </c>
      <c r="K14" s="15"/>
      <c r="N14" s="4" t="s">
        <v>11</v>
      </c>
      <c r="O14" s="19">
        <f>D14/D29-1</f>
        <v>3.9869651876329515E-2</v>
      </c>
      <c r="P14" s="20"/>
    </row>
    <row r="15" spans="1:16" x14ac:dyDescent="0.3">
      <c r="B15" s="4" t="s">
        <v>12</v>
      </c>
      <c r="C15" s="5">
        <v>21754544</v>
      </c>
      <c r="D15" s="5">
        <v>633857</v>
      </c>
      <c r="E15" s="5">
        <v>160433</v>
      </c>
      <c r="H15" t="s">
        <v>24</v>
      </c>
      <c r="I15" s="1">
        <f>SUM(D21:D26)</f>
        <v>3396172</v>
      </c>
      <c r="J15" s="1">
        <f>31+29+31+30+31+30</f>
        <v>182</v>
      </c>
      <c r="K15" s="13">
        <f>I15/J15</f>
        <v>18660.285714285714</v>
      </c>
      <c r="N15" s="4" t="s">
        <v>12</v>
      </c>
      <c r="O15" s="19">
        <f>D15/D30-1</f>
        <v>6.5058860297947607E-2</v>
      </c>
      <c r="P15" s="20"/>
    </row>
    <row r="16" spans="1:16" x14ac:dyDescent="0.3">
      <c r="B16" s="4" t="s">
        <v>13</v>
      </c>
      <c r="C16" s="5">
        <v>19637534</v>
      </c>
      <c r="D16" s="5">
        <v>588324</v>
      </c>
      <c r="E16" s="5">
        <v>147965</v>
      </c>
      <c r="H16" t="s">
        <v>25</v>
      </c>
      <c r="I16" s="1">
        <f>SUM(D27:D32)</f>
        <v>3544717</v>
      </c>
      <c r="J16" s="1">
        <f>31+31+30+31+30+31</f>
        <v>184</v>
      </c>
      <c r="K16" s="13">
        <f>I16/J16</f>
        <v>19264.766304347828</v>
      </c>
      <c r="N16" s="4" t="s">
        <v>13</v>
      </c>
      <c r="O16" s="19">
        <f>D16/D31-1</f>
        <v>5.5956406556247229E-2</v>
      </c>
      <c r="P16" s="20"/>
    </row>
    <row r="17" spans="1:16" x14ac:dyDescent="0.3">
      <c r="B17" s="4" t="s">
        <v>14</v>
      </c>
      <c r="C17" s="5">
        <v>19206731</v>
      </c>
      <c r="D17" s="5">
        <v>581508</v>
      </c>
      <c r="E17" s="5">
        <v>149083</v>
      </c>
      <c r="H17" s="14">
        <v>2024</v>
      </c>
      <c r="I17" s="1">
        <f>D33</f>
        <v>6940889</v>
      </c>
      <c r="J17">
        <v>366</v>
      </c>
      <c r="K17" s="13">
        <f>I17/J17</f>
        <v>18964.177595628415</v>
      </c>
      <c r="N17" s="4" t="s">
        <v>14</v>
      </c>
      <c r="O17" s="19">
        <f>D17/D32-1</f>
        <v>8.3948463293517683E-2</v>
      </c>
      <c r="P17" s="20"/>
    </row>
    <row r="18" spans="1:16" x14ac:dyDescent="0.3">
      <c r="B18" s="6" t="s">
        <v>15</v>
      </c>
      <c r="C18" s="7">
        <f>SUM(C6:C17)</f>
        <v>305459173</v>
      </c>
      <c r="D18" s="7">
        <f>SUM(D6:D17)</f>
        <v>7197420</v>
      </c>
      <c r="E18" s="7">
        <f>SUM(E6:E17)</f>
        <v>1817275</v>
      </c>
    </row>
    <row r="19" spans="1:16" x14ac:dyDescent="0.3">
      <c r="G19" s="25"/>
      <c r="H19" s="25"/>
      <c r="I19" s="25"/>
    </row>
    <row r="20" spans="1:16" x14ac:dyDescent="0.3">
      <c r="G20" s="26"/>
      <c r="H20" s="25"/>
      <c r="I20" s="25"/>
    </row>
    <row r="21" spans="1:16" x14ac:dyDescent="0.3">
      <c r="A21" s="2">
        <v>2024</v>
      </c>
      <c r="B21" s="4" t="s">
        <v>3</v>
      </c>
      <c r="C21" s="5">
        <v>22985756</v>
      </c>
      <c r="D21" s="5">
        <v>516783</v>
      </c>
      <c r="E21" s="5">
        <v>134779</v>
      </c>
      <c r="G21" s="25"/>
      <c r="H21" s="25"/>
      <c r="I21" s="25"/>
    </row>
    <row r="22" spans="1:16" x14ac:dyDescent="0.3">
      <c r="B22" s="4" t="s">
        <v>4</v>
      </c>
      <c r="C22" s="5">
        <v>23714426</v>
      </c>
      <c r="D22" s="5">
        <v>505701</v>
      </c>
      <c r="E22" s="5">
        <v>131355</v>
      </c>
      <c r="G22" s="11"/>
      <c r="H22" s="11"/>
      <c r="I22" s="25"/>
    </row>
    <row r="23" spans="1:16" x14ac:dyDescent="0.3">
      <c r="B23" s="4" t="s">
        <v>5</v>
      </c>
      <c r="C23" s="5">
        <v>26670490</v>
      </c>
      <c r="D23" s="5">
        <v>538824</v>
      </c>
      <c r="E23" s="5">
        <v>139096</v>
      </c>
      <c r="G23" s="27"/>
      <c r="H23" s="27"/>
      <c r="I23" s="25"/>
    </row>
    <row r="24" spans="1:16" x14ac:dyDescent="0.3">
      <c r="B24" s="4" t="s">
        <v>6</v>
      </c>
      <c r="C24" s="5">
        <v>28110417</v>
      </c>
      <c r="D24" s="5">
        <v>578752</v>
      </c>
      <c r="E24" s="5">
        <v>151256</v>
      </c>
      <c r="G24" s="25"/>
      <c r="H24" s="25"/>
      <c r="I24" s="25"/>
    </row>
    <row r="25" spans="1:16" x14ac:dyDescent="0.3">
      <c r="B25" s="4" t="s">
        <v>7</v>
      </c>
      <c r="C25" s="5">
        <v>31982901</v>
      </c>
      <c r="D25" s="5">
        <v>625237</v>
      </c>
      <c r="E25" s="5">
        <v>160145</v>
      </c>
      <c r="G25" s="25"/>
      <c r="H25" s="25"/>
      <c r="I25" s="25"/>
    </row>
    <row r="26" spans="1:16" x14ac:dyDescent="0.3">
      <c r="B26" s="4" t="s">
        <v>8</v>
      </c>
      <c r="C26" s="5">
        <v>32707209</v>
      </c>
      <c r="D26" s="5">
        <v>630875</v>
      </c>
      <c r="E26" s="5">
        <v>160082</v>
      </c>
    </row>
    <row r="27" spans="1:16" x14ac:dyDescent="0.3">
      <c r="B27" s="4" t="s">
        <v>9</v>
      </c>
      <c r="C27" s="5">
        <v>33853255</v>
      </c>
      <c r="D27" s="5">
        <v>588022</v>
      </c>
      <c r="E27" s="5">
        <v>144219</v>
      </c>
    </row>
    <row r="28" spans="1:16" x14ac:dyDescent="0.3">
      <c r="B28" s="4" t="s">
        <v>10</v>
      </c>
      <c r="C28" s="5">
        <v>35392992</v>
      </c>
      <c r="D28" s="5">
        <v>656344</v>
      </c>
      <c r="E28" s="5">
        <v>163698</v>
      </c>
    </row>
    <row r="29" spans="1:16" x14ac:dyDescent="0.3">
      <c r="B29" s="4" t="s">
        <v>11</v>
      </c>
      <c r="C29" s="5">
        <v>30878242</v>
      </c>
      <c r="D29" s="5">
        <v>611593</v>
      </c>
      <c r="E29" s="5">
        <v>154718</v>
      </c>
      <c r="G29" s="16"/>
      <c r="H29" s="17"/>
    </row>
    <row r="30" spans="1:16" x14ac:dyDescent="0.3">
      <c r="B30" s="4" t="s">
        <v>12</v>
      </c>
      <c r="C30" s="5">
        <v>28910885</v>
      </c>
      <c r="D30" s="5">
        <v>595138</v>
      </c>
      <c r="E30" s="5">
        <v>155885</v>
      </c>
      <c r="G30" s="22"/>
      <c r="H30" s="22"/>
    </row>
    <row r="31" spans="1:16" x14ac:dyDescent="0.3">
      <c r="B31" s="4" t="s">
        <v>13</v>
      </c>
      <c r="C31" s="5">
        <v>26217436</v>
      </c>
      <c r="D31" s="5">
        <v>557148</v>
      </c>
      <c r="E31" s="5">
        <v>145743</v>
      </c>
      <c r="G31" s="23"/>
      <c r="H31" s="23"/>
    </row>
    <row r="32" spans="1:16" x14ac:dyDescent="0.3">
      <c r="B32" s="4" t="s">
        <v>14</v>
      </c>
      <c r="C32" s="5">
        <v>25247191</v>
      </c>
      <c r="D32" s="5">
        <v>536472</v>
      </c>
      <c r="E32" s="5">
        <v>143044</v>
      </c>
      <c r="G32" s="24"/>
      <c r="H32" s="24"/>
    </row>
    <row r="33" spans="2:7" x14ac:dyDescent="0.3">
      <c r="B33" s="6" t="s">
        <v>15</v>
      </c>
      <c r="C33" s="7">
        <f>SUM(C21:C32)</f>
        <v>346671200</v>
      </c>
      <c r="D33" s="7">
        <f>SUM(D21:D32)</f>
        <v>6940889</v>
      </c>
      <c r="E33" s="7">
        <f>SUM(E21:E32)</f>
        <v>1784020</v>
      </c>
    </row>
    <row r="34" spans="2:7" x14ac:dyDescent="0.3">
      <c r="G34" s="1"/>
    </row>
  </sheetData>
  <mergeCells count="1">
    <mergeCell ref="P13:P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9699532C3C0B4CB779FA4EF20D109D" ma:contentTypeVersion="18" ma:contentTypeDescription="Opprett et nytt dokument." ma:contentTypeScope="" ma:versionID="f281e11498d9aa963883015d5f72c6f5">
  <xsd:schema xmlns:xsd="http://www.w3.org/2001/XMLSchema" xmlns:xs="http://www.w3.org/2001/XMLSchema" xmlns:p="http://schemas.microsoft.com/office/2006/metadata/properties" xmlns:ns2="f93a1a92-7f2a-46e3-8491-5c26eae2ebf9" xmlns:ns3="cd7eace2-b161-4cb8-8d30-3103fb415fbe" targetNamespace="http://schemas.microsoft.com/office/2006/metadata/properties" ma:root="true" ma:fieldsID="96815a85756a093f8a8de6b3a5a7a813" ns2:_="" ns3:_="">
    <xsd:import namespace="f93a1a92-7f2a-46e3-8491-5c26eae2ebf9"/>
    <xsd:import namespace="cd7eace2-b161-4cb8-8d30-3103fb415f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Archived" minOccurs="0"/>
                <xsd:element ref="ns2:ArchivedBy" minOccurs="0"/>
                <xsd:element ref="ns2:ArchivedTo" minOccurs="0"/>
                <xsd:element ref="ns2:Merkn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a1a92-7f2a-46e3-8491-5c26eae2eb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emerkelapper" ma:readOnly="false" ma:fieldId="{5cf76f15-5ced-4ddc-b409-7134ff3c332f}" ma:taxonomyMulti="true" ma:sspId="eb027612-b50e-4f78-9ef2-ef63ce5f25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d" ma:index="22" nillable="true" ma:displayName="Arkivert" ma:internalName="Archived">
      <xsd:simpleType>
        <xsd:restriction base="dms:DateTime"/>
      </xsd:simpleType>
    </xsd:element>
    <xsd:element name="ArchivedBy" ma:index="23" nillable="true" ma:displayName="Arkivert av" ma:internalName="ArchivedBy">
      <xsd:simpleType>
        <xsd:restriction base="dms:Text"/>
      </xsd:simpleType>
    </xsd:element>
    <xsd:element name="ArchivedTo" ma:index="24" nillable="true" ma:displayName="Arkivert til" ma:internalName="ArchivedT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rknad" ma:index="25" nillable="true" ma:displayName="Merknad" ma:format="Dropdown" ma:internalName="Merkn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eace2-b161-4cb8-8d30-3103fb415f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cbd9ba-b704-4057-893c-470a3cd289a4}" ma:internalName="TaxCatchAll" ma:showField="CatchAllData" ma:web="cd7eace2-b161-4cb8-8d30-3103fb415f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3a1a92-7f2a-46e3-8491-5c26eae2ebf9">
      <Terms xmlns="http://schemas.microsoft.com/office/infopath/2007/PartnerControls"/>
    </lcf76f155ced4ddcb4097134ff3c332f>
    <TaxCatchAll xmlns="cd7eace2-b161-4cb8-8d30-3103fb415fbe" xsi:nil="true"/>
    <Archived xmlns="f93a1a92-7f2a-46e3-8491-5c26eae2ebf9" xsi:nil="true"/>
    <ArchivedTo xmlns="f93a1a92-7f2a-46e3-8491-5c26eae2ebf9">
      <Url xsi:nil="true"/>
      <Description xsi:nil="true"/>
    </ArchivedTo>
    <Merknad xmlns="f93a1a92-7f2a-46e3-8491-5c26eae2ebf9" xsi:nil="true"/>
    <ArchivedBy xmlns="f93a1a92-7f2a-46e3-8491-5c26eae2ebf9" xsi:nil="true"/>
  </documentManagement>
</p:properties>
</file>

<file path=customXml/itemProps1.xml><?xml version="1.0" encoding="utf-8"?>
<ds:datastoreItem xmlns:ds="http://schemas.openxmlformats.org/officeDocument/2006/customXml" ds:itemID="{E2C8FB11-4972-4B85-BFD5-44238CD04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3a1a92-7f2a-46e3-8491-5c26eae2ebf9"/>
    <ds:schemaRef ds:uri="cd7eace2-b161-4cb8-8d30-3103fb415f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1D6261-8D28-4FAB-8FB5-507960D5B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3DF738-8D16-4598-BFED-4B51FD714912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d7eace2-b161-4cb8-8d30-3103fb415fbe"/>
    <ds:schemaRef ds:uri="f93a1a92-7f2a-46e3-8491-5c26eae2ebf9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Marit Husa</cp:lastModifiedBy>
  <dcterms:created xsi:type="dcterms:W3CDTF">2026-01-06T17:20:40Z</dcterms:created>
  <dcterms:modified xsi:type="dcterms:W3CDTF">2026-01-07T09:30:07Z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021dbd-0e13-4ddb-b398-dc2c2217c241_Enabled">
    <vt:lpwstr>true</vt:lpwstr>
  </property>
  <property fmtid="{D5CDD505-2E9C-101B-9397-08002B2CF9AE}" pid="3" name="MSIP_Label_8f021dbd-0e13-4ddb-b398-dc2c2217c241_SetDate">
    <vt:lpwstr>2026-01-06T17:32:11Z</vt:lpwstr>
  </property>
  <property fmtid="{D5CDD505-2E9C-101B-9397-08002B2CF9AE}" pid="4" name="MSIP_Label_8f021dbd-0e13-4ddb-b398-dc2c2217c241_Method">
    <vt:lpwstr>Standard</vt:lpwstr>
  </property>
  <property fmtid="{D5CDD505-2E9C-101B-9397-08002B2CF9AE}" pid="5" name="MSIP_Label_8f021dbd-0e13-4ddb-b398-dc2c2217c241_Name">
    <vt:lpwstr>Intern</vt:lpwstr>
  </property>
  <property fmtid="{D5CDD505-2E9C-101B-9397-08002B2CF9AE}" pid="6" name="MSIP_Label_8f021dbd-0e13-4ddb-b398-dc2c2217c241_SiteId">
    <vt:lpwstr>b5e6d92e-9830-4fd0-95a5-6bbbc831caf0</vt:lpwstr>
  </property>
  <property fmtid="{D5CDD505-2E9C-101B-9397-08002B2CF9AE}" pid="7" name="MSIP_Label_8f021dbd-0e13-4ddb-b398-dc2c2217c241_ActionId">
    <vt:lpwstr>9c87f5da-722a-41b4-aa3a-b9a3bdc7b3d1</vt:lpwstr>
  </property>
  <property fmtid="{D5CDD505-2E9C-101B-9397-08002B2CF9AE}" pid="8" name="MSIP_Label_8f021dbd-0e13-4ddb-b398-dc2c2217c241_ContentBits">
    <vt:lpwstr>0</vt:lpwstr>
  </property>
  <property fmtid="{D5CDD505-2E9C-101B-9397-08002B2CF9AE}" pid="9" name="MSIP_Label_8f021dbd-0e13-4ddb-b398-dc2c2217c241_Tag">
    <vt:lpwstr>10, 3, 0, 1</vt:lpwstr>
  </property>
  <property fmtid="{D5CDD505-2E9C-101B-9397-08002B2CF9AE}" pid="10" name="ContentTypeId">
    <vt:lpwstr>0x010100269699532C3C0B4CB779FA4EF20D109D</vt:lpwstr>
  </property>
  <property fmtid="{D5CDD505-2E9C-101B-9397-08002B2CF9AE}" pid="11" name="MediaServiceImageTags">
    <vt:lpwstr/>
  </property>
</Properties>
</file>